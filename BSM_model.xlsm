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1252c13cec5d966/Documents/Learning/Academic/Current Term/MATH 5632/"/>
    </mc:Choice>
  </mc:AlternateContent>
  <xr:revisionPtr revIDLastSave="3383" documentId="115_{DF7B0684-D70F-424F-9197-FA5B86DA466A}" xr6:coauthVersionLast="47" xr6:coauthVersionMax="47" xr10:uidLastSave="{269D40F8-0B7C-4511-B39D-5F765CF75619}"/>
  <bookViews>
    <workbookView xWindow="28680" yWindow="-120" windowWidth="29040" windowHeight="15840" tabRatio="640" firstSheet="4" activeTab="5" xr2:uid="{00000000-000D-0000-FFFF-FFFF00000000}"/>
  </bookViews>
  <sheets>
    <sheet name="M_BS" sheetId="2" state="veryHidden" r:id=""/>
    <sheet name="Binom" sheetId="3" state="veryHidden" r:id=""/>
    <sheet name="M_Probs" sheetId="5" state="veryHidden" r:id=""/>
    <sheet name="parameters" sheetId="22" state="hidden" r:id="rId1"/>
    <sheet name="Black-Scholes+Binomial" sheetId="12" r:id="rId2"/>
    <sheet name="Output" sheetId="13" r:id="rId3"/>
    <sheet name="To-Dos" sheetId="23" state="hidden" r:id="rId4"/>
    <sheet name="Revisions" sheetId="19" state="hidden" r:id="rId5"/>
  </sheets>
  <functionGroups builtInGroupCount="19"/>
  <definedNames>
    <definedName name="asian_aapcall">#REF!</definedName>
    <definedName name="asian_aapcallcv">#REF!</definedName>
    <definedName name="asian_aapput">#REF!</definedName>
    <definedName name="asian_aapputcv">#REF!</definedName>
    <definedName name="asian_aascall">#REF!</definedName>
    <definedName name="asian_aascallcv">#REF!</definedName>
    <definedName name="asian_aasput">#REF!</definedName>
    <definedName name="asian_aasputcv">#REF!</definedName>
    <definedName name="asian_appcallcv">#REF!</definedName>
    <definedName name="asian_appputcv">#REF!</definedName>
    <definedName name="asian_div">#REF!</definedName>
    <definedName name="asian_gapcall">#REF!</definedName>
    <definedName name="asian_gapput">#REF!</definedName>
    <definedName name="asian_gascall">#REF!</definedName>
    <definedName name="asian_gasput">#REF!</definedName>
    <definedName name="asian_iterout">#REF!</definedName>
    <definedName name="asian_iteroutcv">#REF!</definedName>
    <definedName name="asian_k">#REF!</definedName>
    <definedName name="asian_moneyness">#REF!</definedName>
    <definedName name="asian_numavg">#REF!</definedName>
    <definedName name="asian_numiter">#REF!</definedName>
    <definedName name="asian_r">#REF!</definedName>
    <definedName name="asian_s">#REF!</definedName>
    <definedName name="asian_t">#REF!</definedName>
    <definedName name="asian_vol">#REF!</definedName>
    <definedName name="Binomial_Call_Delta">'Black-Scholes+Binomial'!#REF!</definedName>
    <definedName name="Binomial_Call_Gamma">'Black-Scholes+Binomial'!#REF!</definedName>
    <definedName name="Binomial_Call_Price">'Black-Scholes+Binomial'!#REF!</definedName>
    <definedName name="divd">'Black-Scholes+Binomial'!$C$9</definedName>
    <definedName name="exer">'Black-Scholes+Binomial'!$C$5</definedName>
    <definedName name="expire">'Black-Scholes+Binomial'!$C$8</definedName>
    <definedName name="n">'Black-Scholes+Binomial'!$C$10</definedName>
    <definedName name="OpStyle">'Black-Scholes+Binomial'!$C$11</definedName>
    <definedName name="OpType">'Black-Scholes+Binomial'!$C$11</definedName>
    <definedName name="_xlnm.Print_Area" localSheetId="4">'Black-Scholes+Binomial'!$A$1:$H$29</definedName>
    <definedName name="rint">'Black-Scholes+Binomial'!$C$7</definedName>
    <definedName name="selectedsheet">parameters!$D$1</definedName>
    <definedName name="sheetlist">parameters!$B$2</definedName>
    <definedName name="sheetlistarray">parameters!$B$2:$B$15</definedName>
    <definedName name="sheetlistdescription">parameters!$A$2:$A$15</definedName>
    <definedName name="stock">'Black-Scholes+Binomial'!$C$4</definedName>
    <definedName name="testout">#REF!</definedName>
    <definedName name="treetype">'Black-Scholes+Binomial'!$B$24</definedName>
    <definedName name="Vest">'Black-Scholes+Binomial'!#REF!</definedName>
    <definedName name="vol">'Black-Scholes+Binomial'!$C$6</definedName>
  </definedNames>
  <calcPr calcId="191029"/>
  <customWorkbookViews>
    <customWorkbookView name="Robert McDonald - Personal View" guid="{532D3151-5C1C-424A-878F-BA037C16242F}" mergeInterval="0" personalView="1" xWindow="37" yWindow="39" windowWidth="954" windowHeight="657" activeSheetId="10"/>
    <customWorkbookView name="rmcd - Personal View" guid="{E57ABD6A-4CAE-11D2-87E4-00C04F79569A}" mergeInterval="0" personalView="1" xWindow="30" yWindow="35" windowWidth="737" windowHeight="60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2" l="1"/>
  <c r="G5" i="12"/>
  <c r="F15" i="12" a="1"/>
  <c r="G8" i="12"/>
  <c r="F6" i="12"/>
  <c r="G10" i="12"/>
  <c r="G9" i="12"/>
  <c r="G15" i="12" a="1"/>
  <c r="F10" i="12"/>
  <c r="G7" i="12"/>
  <c r="F5" i="12"/>
  <c r="F7" i="12"/>
  <c r="F11" i="12"/>
  <c r="F4" i="12"/>
  <c r="C15" i="12"/>
  <c r="G6" i="12"/>
  <c r="G11" i="12"/>
  <c r="F9" i="12"/>
  <c r="F8" i="12"/>
  <c r="C17" i="12"/>
  <c r="G4" i="12"/>
  <c r="G15" i="12" l="1"/>
  <c r="G16" i="12"/>
  <c r="G17" i="12"/>
  <c r="G18" i="12"/>
  <c r="F15" i="12"/>
  <c r="F16" i="12"/>
  <c r="F17" i="12"/>
  <c r="F18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McDonald</author>
  </authors>
  <commentList>
    <comment ref="C7" authorId="0" shapeId="0" xr:uid="{00000000-0006-0000-1400-000001000000}">
      <text>
        <r>
          <rPr>
            <sz val="8"/>
            <color indexed="81"/>
            <rFont val="Tahoma"/>
            <family val="2"/>
          </rPr>
          <t>Continuously compounded annual interest rate</t>
        </r>
      </text>
    </comment>
    <comment ref="C9" authorId="0" shapeId="0" xr:uid="{00000000-0006-0000-1400-000002000000}">
      <text>
        <r>
          <rPr>
            <sz val="8"/>
            <color indexed="81"/>
            <rFont val="Tahoma"/>
            <family val="2"/>
          </rPr>
          <t>Continuously compounded annual dividend yield</t>
        </r>
      </text>
    </comment>
    <comment ref="C11" authorId="0" shapeId="0" xr:uid="{00000000-0006-0000-1400-000003000000}">
      <text>
        <r>
          <rPr>
            <sz val="8"/>
            <color indexed="81"/>
            <rFont val="Tahoma"/>
            <family val="2"/>
          </rPr>
          <t xml:space="preserve">Specify whether binomial formula computes European or American option price
</t>
        </r>
      </text>
    </comment>
  </commentList>
</comments>
</file>

<file path=xl/sharedStrings.xml><?xml version="1.0" encoding="utf-8"?>
<sst xmlns="http://schemas.openxmlformats.org/spreadsheetml/2006/main" count="134" uniqueCount="122">
  <si>
    <t>Inputs</t>
  </si>
  <si>
    <t>Stock Price</t>
  </si>
  <si>
    <t xml:space="preserve">Call </t>
  </si>
  <si>
    <t>Put</t>
  </si>
  <si>
    <t>Exercise Price</t>
  </si>
  <si>
    <t>Volatility</t>
  </si>
  <si>
    <t>Risk-free interest rate</t>
  </si>
  <si>
    <t>Dividend Yield</t>
  </si>
  <si>
    <t>Perpetual Options</t>
  </si>
  <si>
    <t>Barrier Options</t>
  </si>
  <si>
    <t>Price</t>
  </si>
  <si>
    <t>Power</t>
  </si>
  <si>
    <t>Type (0=Eur, 1=Amer)</t>
  </si>
  <si>
    <t>Delta</t>
  </si>
  <si>
    <t>Gamma</t>
  </si>
  <si>
    <t>Vega</t>
  </si>
  <si>
    <t>Theta</t>
  </si>
  <si>
    <t>Rho</t>
  </si>
  <si>
    <t># Binomial steps</t>
  </si>
  <si>
    <t>Elasticity</t>
  </si>
  <si>
    <t>Observed Call Price</t>
  </si>
  <si>
    <t>Call Implied Volatility</t>
  </si>
  <si>
    <t>Observed Put Price</t>
  </si>
  <si>
    <t>Put Implied Volatility</t>
  </si>
  <si>
    <t>Time (yrs)</t>
  </si>
  <si>
    <t>Implied Volatility</t>
  </si>
  <si>
    <t>Fixed at least some of the problems with barrier options</t>
  </si>
  <si>
    <t>Cleaned up barrier calculations, formulas now conform to my presentation.</t>
  </si>
  <si>
    <t>Cleaned up Asian options, now uses exclusively formulas I've derived</t>
  </si>
  <si>
    <t>Binary Options</t>
  </si>
  <si>
    <t>Added deferred rebate formulas (4l)</t>
  </si>
  <si>
    <t>Fixed binomial greeks for cases where u*d &lt;&gt; 1 (4l)</t>
  </si>
  <si>
    <t>Forward tree</t>
  </si>
  <si>
    <t>Added "TreeType" public constant when graphing binomial trees (4l)</t>
  </si>
  <si>
    <t>Added horiz output orientation to binomial and perpetual array functions (4l)</t>
  </si>
  <si>
    <t>Added monte carlo calculation of arithmetic asian options (4m)</t>
  </si>
  <si>
    <t>Fixed problem with BSCallImpS and BSPutImpS where small deltas would cause negative stock prices in iteration.</t>
  </si>
  <si>
    <t>Fixed bscallimpvol problem with small starting vols. Made bsputimpvol a function of bscallimpvol.</t>
  </si>
  <si>
    <t>description for drop-down list</t>
  </si>
  <si>
    <t>sheet names</t>
  </si>
  <si>
    <t>SelectedSheet</t>
  </si>
  <si>
    <t>Asian Options</t>
  </si>
  <si>
    <t>Asian</t>
  </si>
  <si>
    <t>Barriers</t>
  </si>
  <si>
    <t>Binaries</t>
  </si>
  <si>
    <t>Black-Scholes and Binomial</t>
  </si>
  <si>
    <t>Currently arrays are defined to 11 entries.</t>
  </si>
  <si>
    <t>Compound Options</t>
  </si>
  <si>
    <t>Compound</t>
  </si>
  <si>
    <t>Exchange Options</t>
  </si>
  <si>
    <t>Exchange</t>
  </si>
  <si>
    <t>Perpetual</t>
  </si>
  <si>
    <t>Power Options</t>
  </si>
  <si>
    <t>The array "sheetlistarray" contains names of spreadsheets</t>
  </si>
  <si>
    <t>The array "sheetlistdescription" contains descriptions for drop-down boxes</t>
  </si>
  <si>
    <t>The macro "gotosheet" selects an entry from sheetlistarray based on value returned from sheetlistdescription</t>
  </si>
  <si>
    <t>This sheet will ultimately be hidden, along with revisions sheet</t>
  </si>
  <si>
    <t>Black-Scholes+Binomial</t>
  </si>
  <si>
    <t>If adding sheets to drop-down lists, be sure to expand sheetlistarray and sheetlistdescription</t>
  </si>
  <si>
    <t>Version N</t>
  </si>
  <si>
    <t>Improved input descriptions, formatted percents as such</t>
  </si>
  <si>
    <t>Navigation drop-downs</t>
  </si>
  <si>
    <t>Time to Expiration (years)</t>
  </si>
  <si>
    <t>Fixed perpetual formula when in exercise region (02)</t>
  </si>
  <si>
    <t>version O</t>
  </si>
  <si>
    <t>Rainbow options</t>
  </si>
  <si>
    <t>Introduced "binomcrr" function to price as in Cox, Ross, Rubinstein. Regular binom uses forward tree.</t>
  </si>
  <si>
    <t>Rainbow Options</t>
  </si>
  <si>
    <t>Rainbow</t>
  </si>
  <si>
    <t>CIR and Vasicek functions</t>
  </si>
  <si>
    <t>Zero Coupon Bonds</t>
  </si>
  <si>
    <t>Interest Rate</t>
  </si>
  <si>
    <t>Version P</t>
  </si>
  <si>
    <t>Fixed parameter order for rainbow options</t>
  </si>
  <si>
    <t>Set default print areas to avoid needless 2nd page</t>
  </si>
  <si>
    <t>Added control variate pricing of asian options</t>
  </si>
  <si>
    <t>Changed def'n of rho to match formula in chapter 12</t>
  </si>
  <si>
    <t>Version Q</t>
  </si>
  <si>
    <t>Black-Scholes (European)</t>
  </si>
  <si>
    <t>Removed bermudan example</t>
  </si>
  <si>
    <t>Added protection to all sheets (only formula and text cells)</t>
  </si>
  <si>
    <t>Vol = 30.000%; r = 8.000%</t>
  </si>
  <si>
    <t>version 5</t>
  </si>
  <si>
    <t>Shipped optall.xls</t>
  </si>
  <si>
    <t>Changed overflow check in m_bs from sig^2*t to sig*sqr(t)</t>
  </si>
  <si>
    <t>Fixed CIR gamma</t>
  </si>
  <si>
    <t xml:space="preserve">Need to add Psi to the greeks output. </t>
  </si>
  <si>
    <t>Need to add a field to compute options on futures. This will make rho correct. (should we do this, or add a function??)</t>
  </si>
  <si>
    <t>Look into adding simulation capability (for example, specify a function to be simulated)</t>
  </si>
  <si>
    <t>Need to add a field to easily permit CRR option output.</t>
  </si>
  <si>
    <t>Add Black formula spreadsheet</t>
  </si>
  <si>
    <t>Psi</t>
  </si>
  <si>
    <t>Add CEV calculation</t>
  </si>
  <si>
    <t>Add Merton Jump calculation</t>
  </si>
  <si>
    <t>CEV</t>
  </si>
  <si>
    <t>Merton Jump</t>
  </si>
  <si>
    <t>CEV Pricing</t>
  </si>
  <si>
    <t>Black Formula</t>
  </si>
  <si>
    <t>Black Pricing Formula</t>
  </si>
  <si>
    <t>Fixed Dividend Pricing</t>
  </si>
  <si>
    <t>Fixed Dividends</t>
  </si>
  <si>
    <t>Done</t>
  </si>
  <si>
    <t>Add functions for American implied volatility (with fixed dividends?).</t>
  </si>
  <si>
    <t>Pricing for fixed dividends</t>
  </si>
  <si>
    <t>Black Pricing formula for fixed income.</t>
  </si>
  <si>
    <t>Still To Do as of version 6_02</t>
  </si>
  <si>
    <t>Add bond equivalent yields to Black calculation</t>
  </si>
  <si>
    <t>Second edition sheets (first printing) based on options6_05.xls</t>
  </si>
  <si>
    <t>Fixed error in CEV function (cevcall=s^exp(-a*t))</t>
  </si>
  <si>
    <t>Revision A</t>
  </si>
  <si>
    <t>Revision B</t>
  </si>
  <si>
    <t>Fixed error in CIR function (sign on risk premium in solution)</t>
  </si>
  <si>
    <t>Revision C</t>
  </si>
  <si>
    <t>Fixed error in Vasicek function when a=0 (sign of first term in exponent should be negative).</t>
  </si>
  <si>
    <t>OPTALL3</t>
  </si>
  <si>
    <t>Fixed error in perpetual options (needless evaluatoin of option price would for extreme parameter values cause numerical overflow</t>
  </si>
  <si>
    <t>Fixed error in binomial, comparing rhat to up and down, rather than ahat</t>
  </si>
  <si>
    <t>American Call</t>
  </si>
  <si>
    <t>Strike =  120</t>
  </si>
  <si>
    <t>Exp =  5 years; Div = 5.000%</t>
  </si>
  <si>
    <t>u = 1.2550; d = 0.8211</t>
  </si>
  <si>
    <t xml:space="preserve">Risk-neutral prob of up = 0.4472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</si>
</sst>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"/>
    <numFmt numFmtId="165" formatCode="0.000%"/>
    <numFmt numFmtId="166" formatCode="0.0000"/>
  </numFmts>
  <fonts count="12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b/>
      <i/>
      <sz val="10"/>
      <color indexed="17"/>
      <name val="Arial"/>
      <family val="2"/>
    </font>
    <font>
      <b/>
      <sz val="10"/>
      <color indexed="12"/>
      <name val="Arial"/>
      <family val="2"/>
    </font>
    <font>
      <i/>
      <sz val="10"/>
      <color indexed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8">
    <xf numFmtId="0" fontId="0" fillId="0" borderId="0" xfId="0"/>
    <xf numFmtId="0" fontId="4" fillId="0" borderId="0" xfId="0" applyFont="1"/>
    <xf numFmtId="0" fontId="6" fillId="0" borderId="0" xfId="0" applyFont="1"/>
    <xf numFmtId="0" fontId="3" fillId="0" borderId="0" xfId="0" applyFont="1"/>
    <xf numFmtId="0" fontId="7" fillId="0" borderId="0" xfId="0" applyFont="1"/>
    <xf numFmtId="0" fontId="5" fillId="0" borderId="0" xfId="0" applyFont="1"/>
    <xf numFmtId="0" fontId="8" fillId="2" borderId="1" xfId="0" applyFont="1" applyFill="1" applyBorder="1" applyProtection="1">
      <protection locked="0"/>
    </xf>
    <xf numFmtId="0" fontId="8" fillId="2" borderId="2" xfId="0" applyFont="1" applyFill="1" applyBorder="1" applyProtection="1">
      <protection locked="0"/>
    </xf>
    <xf numFmtId="0" fontId="8" fillId="2" borderId="3" xfId="0" applyFont="1" applyFill="1" applyBorder="1" applyProtection="1">
      <protection locked="0"/>
    </xf>
    <xf numFmtId="164" fontId="0" fillId="0" borderId="0" xfId="0" applyNumberFormat="1"/>
    <xf numFmtId="165" fontId="8" fillId="2" borderId="2" xfId="1" applyNumberFormat="1" applyFont="1" applyFill="1" applyBorder="1" applyProtection="1">
      <protection locked="0"/>
    </xf>
    <xf numFmtId="0" fontId="8" fillId="2" borderId="4" xfId="0" applyFont="1" applyFill="1" applyBorder="1" applyProtection="1">
      <protection locked="0"/>
    </xf>
    <xf numFmtId="0" fontId="0" fillId="3" borderId="0" xfId="0" applyFill="1" applyProtection="1">
      <protection locked="0"/>
    </xf>
    <xf numFmtId="0" fontId="3" fillId="3" borderId="5" xfId="0" applyFont="1" applyFill="1" applyBorder="1" applyAlignment="1" applyProtection="1">
      <alignment horizontal="centerContinuous"/>
      <protection locked="0"/>
    </xf>
    <xf numFmtId="0" fontId="0" fillId="3" borderId="0" xfId="0" applyFill="1" applyAlignment="1" applyProtection="1">
      <alignment horizontal="right"/>
      <protection locked="0"/>
    </xf>
    <xf numFmtId="0" fontId="3" fillId="3" borderId="5" xfId="0" applyFont="1" applyFill="1" applyBorder="1" applyAlignment="1">
      <alignment horizontal="centerContinuous"/>
    </xf>
    <xf numFmtId="0" fontId="0" fillId="3" borderId="0" xfId="0" applyFill="1"/>
    <xf numFmtId="0" fontId="0" fillId="3" borderId="1" xfId="0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0" fontId="0" fillId="3" borderId="3" xfId="0" applyFill="1" applyBorder="1" applyAlignment="1">
      <alignment horizontal="right"/>
    </xf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right"/>
    </xf>
    <xf numFmtId="0" fontId="0" fillId="3" borderId="9" xfId="0" applyFill="1" applyBorder="1"/>
    <xf numFmtId="10" fontId="0" fillId="3" borderId="2" xfId="1" applyNumberFormat="1" applyFont="1" applyFill="1" applyBorder="1" applyProtection="1"/>
    <xf numFmtId="10" fontId="0" fillId="3" borderId="3" xfId="1" applyNumberFormat="1" applyFont="1" applyFill="1" applyBorder="1" applyProtection="1"/>
    <xf numFmtId="166" fontId="0" fillId="3" borderId="10" xfId="0" applyNumberFormat="1" applyFill="1" applyBorder="1"/>
    <xf numFmtId="166" fontId="0" fillId="3" borderId="6" xfId="0" applyNumberFormat="1" applyFill="1" applyBorder="1"/>
    <xf numFmtId="166" fontId="0" fillId="3" borderId="11" xfId="0" applyNumberFormat="1" applyFill="1" applyBorder="1"/>
    <xf numFmtId="166" fontId="0" fillId="3" borderId="7" xfId="0" applyNumberFormat="1" applyFill="1" applyBorder="1"/>
    <xf numFmtId="166" fontId="0" fillId="3" borderId="12" xfId="0" applyNumberFormat="1" applyFill="1" applyBorder="1"/>
    <xf numFmtId="166" fontId="0" fillId="3" borderId="8" xfId="0" applyNumberFormat="1" applyFill="1" applyBorder="1"/>
    <xf numFmtId="166" fontId="0" fillId="3" borderId="9" xfId="0" applyNumberFormat="1" applyFill="1" applyBorder="1"/>
    <xf numFmtId="166" fontId="0" fillId="3" borderId="0" xfId="0" applyNumberFormat="1" applyFill="1"/>
    <xf numFmtId="166" fontId="0" fillId="3" borderId="5" xfId="0" applyNumberFormat="1" applyFill="1" applyBorder="1"/>
    <xf numFmtId="0" fontId="2" fillId="0" borderId="0" xfId="0" applyFont="1"/>
    <xf numFmtId="164" fontId="2" fillId="0" borderId="0" xfId="0" applyNumberFormat="1" applyFont="1"/>
    <xf numFmtId="0" fontId="1" fillId="0" borderId="0" xfId="0" applyFont="1"/>
    <xf numFmtId="0" fontId="3" fillId="3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Drop" dropStyle="combo" dx="22" fmlaLink="selectedsheet" fmlaRange="sheetlistarray" noThreeD="1" sel="5" val="2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1</xdr:row>
          <xdr:rowOff>57150</xdr:rowOff>
        </xdr:from>
        <xdr:to>
          <xdr:col>8</xdr:col>
          <xdr:colOff>276225</xdr:colOff>
          <xdr:row>3</xdr:row>
          <xdr:rowOff>123825</xdr:rowOff>
        </xdr:to>
        <xdr:grpSp>
          <xdr:nvGrpSpPr>
            <xdr:cNvPr id="6161" name="Group 5">
              <a:extLs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705475" y="219075"/>
              <a:ext cx="1647825" cy="390525"/>
              <a:chOff x="454" y="100"/>
              <a:chExt cx="173" cy="41"/>
            </a:xfrm>
          </xdr:grpSpPr>
          <xdr:sp macro="" textlink="">
            <xdr:nvSpPr>
              <xdr:cNvPr id="6147" name="Label 3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600-000003180000}"/>
                  </a:ext>
                </a:extLst>
              </xdr:cNvPr>
              <xdr:cNvSpPr/>
            </xdr:nvSpPr>
            <xdr:spPr bwMode="auto">
              <a:xfrm>
                <a:off x="455" y="100"/>
                <a:ext cx="86" cy="1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Go to Sheet:</a:t>
                </a:r>
              </a:p>
            </xdr:txBody>
          </xdr:sp>
          <xdr:sp macro="" textlink="">
            <xdr:nvSpPr>
              <xdr:cNvPr id="6148" name="Drop Down 4" hidden="1">
                <a:extLst>
                  <a:ext uri="{63B3BB69-23CF-44E3-9099-C40C66FF867C}">
                    <a14:compatExt spid="_x0000_s6148"/>
                  </a:ext>
                  <a:ext uri="{FF2B5EF4-FFF2-40B4-BE49-F238E27FC236}">
                    <a16:creationId xmlns:a16="http://schemas.microsoft.com/office/drawing/2014/main" id="{00000000-0008-0000-0600-000004180000}"/>
                  </a:ext>
                </a:extLst>
              </xdr:cNvPr>
              <xdr:cNvSpPr/>
            </xdr:nvSpPr>
            <xdr:spPr bwMode="auto">
              <a:xfrm>
                <a:off x="454" y="120"/>
                <a:ext cx="173" cy="2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17</xdr:row>
          <xdr:rowOff>142875</xdr:rowOff>
        </xdr:from>
        <xdr:to>
          <xdr:col>2</xdr:col>
          <xdr:colOff>57150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Draw Binomial Tree for Call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20</xdr:row>
          <xdr:rowOff>123825</xdr:rowOff>
        </xdr:from>
        <xdr:to>
          <xdr:col>2</xdr:col>
          <xdr:colOff>66675</xdr:colOff>
          <xdr:row>22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Draw Binomial Tree for 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16</xdr:row>
      <xdr:rowOff>152400</xdr:rowOff>
    </xdr:from>
    <xdr:to>
      <xdr:col>4</xdr:col>
      <xdr:colOff>276225</xdr:colOff>
      <xdr:row>20</xdr:row>
      <xdr:rowOff>104775</xdr:rowOff>
    </xdr:to>
    <xdr:sp macro="" textlink="">
      <xdr:nvSpPr>
        <xdr:cNvPr id="4097" name="Text 1">
          <a:extLst>
            <a:ext uri="{FF2B5EF4-FFF2-40B4-BE49-F238E27FC236}">
              <a16:creationId xmlns:a16="http://schemas.microsoft.com/office/drawing/2014/main" id="{00000000-0008-0000-0800-000001100000}"/>
            </a:ext>
          </a:extLst>
        </xdr:cNvPr>
        <xdr:cNvSpPr txBox="1">
          <a:spLocks noChangeArrowheads="1"/>
        </xdr:cNvSpPr>
      </xdr:nvSpPr>
      <xdr:spPr bwMode="auto">
        <a:xfrm>
          <a:off x="38100" y="2743200"/>
          <a:ext cx="2714625" cy="6000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Black = Stock Price</a:t>
          </a:r>
        </a:p>
        <a:p>
          <a:pPr algn="l" rtl="0">
            <a:defRPr sz="1000"/>
          </a:pPr>
          <a:r>
            <a:rPr lang="en-US" sz="1000" b="0" i="1" strike="noStrike">
              <a:solidFill>
                <a:srgbClr val="FF0000"/>
              </a:solidFill>
              <a:latin typeface="Arial"/>
              <a:cs typeface="Arial"/>
            </a:rPr>
            <a:t>Red</a:t>
          </a: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0" i="1" strike="noStrike">
              <a:solidFill>
                <a:srgbClr val="FF0000"/>
              </a:solidFill>
              <a:latin typeface="Arial"/>
              <a:cs typeface="Arial"/>
            </a:rPr>
            <a:t>Italic</a:t>
          </a: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= Option Price, no exercise</a:t>
          </a:r>
        </a:p>
        <a:p>
          <a:pPr algn="l" rtl="0">
            <a:defRPr sz="1000"/>
          </a:pPr>
          <a:r>
            <a:rPr lang="en-US" sz="1000" b="1" i="1" strike="noStrike">
              <a:solidFill>
                <a:srgbClr val="008000"/>
              </a:solidFill>
              <a:latin typeface="Arial"/>
              <a:cs typeface="Arial"/>
            </a:rPr>
            <a:t>Green Bold Italic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= Option Price, exercise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4.bin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C2D7A-C00B-45EE-9FE8-F78240C392A1}">
  <sheetPr codeName="Sheet11"/>
  <dimension ref="A1:D20"/>
  <sheetViews>
    <sheetView workbookViewId="0">
      <selection activeCell="C10" sqref="C10"/>
    </sheetView>
  </sheetViews>
  <sheetFormatPr defaultRowHeight="12.75" x14ac:dyDescent="0.2"/>
  <cols>
    <col min="1" max="1" width="25" customWidth="1"/>
    <col min="2" max="2" width="13.28515625" customWidth="1"/>
    <col min="3" max="3" width="22.140625" customWidth="1"/>
  </cols>
  <sheetData>
    <row r="1" spans="1:4" x14ac:dyDescent="0.2">
      <c r="A1" s="3" t="s">
        <v>38</v>
      </c>
      <c r="B1" s="3" t="s">
        <v>39</v>
      </c>
      <c r="C1" s="3" t="s">
        <v>40</v>
      </c>
      <c r="D1">
        <v>5</v>
      </c>
    </row>
    <row r="2" spans="1:4" x14ac:dyDescent="0.2">
      <c r="A2" t="s">
        <v>41</v>
      </c>
      <c r="B2" t="s">
        <v>42</v>
      </c>
    </row>
    <row r="3" spans="1:4" x14ac:dyDescent="0.2">
      <c r="A3" t="s">
        <v>9</v>
      </c>
      <c r="B3" t="s">
        <v>43</v>
      </c>
    </row>
    <row r="4" spans="1:4" x14ac:dyDescent="0.2">
      <c r="A4" t="s">
        <v>29</v>
      </c>
      <c r="B4" t="s">
        <v>44</v>
      </c>
    </row>
    <row r="5" spans="1:4" x14ac:dyDescent="0.2">
      <c r="A5" t="s">
        <v>98</v>
      </c>
      <c r="B5" t="s">
        <v>97</v>
      </c>
      <c r="D5" t="s">
        <v>46</v>
      </c>
    </row>
    <row r="6" spans="1:4" x14ac:dyDescent="0.2">
      <c r="A6" t="s">
        <v>45</v>
      </c>
      <c r="B6" t="s">
        <v>57</v>
      </c>
    </row>
    <row r="7" spans="1:4" x14ac:dyDescent="0.2">
      <c r="A7" t="s">
        <v>96</v>
      </c>
      <c r="B7" t="s">
        <v>94</v>
      </c>
      <c r="D7" s="3"/>
    </row>
    <row r="8" spans="1:4" x14ac:dyDescent="0.2">
      <c r="A8" t="s">
        <v>47</v>
      </c>
      <c r="B8" t="s">
        <v>48</v>
      </c>
    </row>
    <row r="9" spans="1:4" x14ac:dyDescent="0.2">
      <c r="A9" t="s">
        <v>49</v>
      </c>
      <c r="B9" t="s">
        <v>50</v>
      </c>
    </row>
    <row r="10" spans="1:4" x14ac:dyDescent="0.2">
      <c r="A10" t="s">
        <v>99</v>
      </c>
      <c r="B10" t="s">
        <v>100</v>
      </c>
    </row>
    <row r="11" spans="1:4" x14ac:dyDescent="0.2">
      <c r="A11" t="s">
        <v>70</v>
      </c>
      <c r="B11" t="s">
        <v>71</v>
      </c>
    </row>
    <row r="12" spans="1:4" x14ac:dyDescent="0.2">
      <c r="A12" t="s">
        <v>95</v>
      </c>
      <c r="B12" t="s">
        <v>95</v>
      </c>
    </row>
    <row r="13" spans="1:4" x14ac:dyDescent="0.2">
      <c r="A13" t="s">
        <v>8</v>
      </c>
      <c r="B13" t="s">
        <v>51</v>
      </c>
    </row>
    <row r="14" spans="1:4" x14ac:dyDescent="0.2">
      <c r="A14" t="s">
        <v>52</v>
      </c>
      <c r="B14" t="s">
        <v>11</v>
      </c>
      <c r="D14" t="s">
        <v>53</v>
      </c>
    </row>
    <row r="15" spans="1:4" x14ac:dyDescent="0.2">
      <c r="A15" t="s">
        <v>67</v>
      </c>
      <c r="B15" t="s">
        <v>68</v>
      </c>
      <c r="D15" t="s">
        <v>54</v>
      </c>
    </row>
    <row r="16" spans="1:4" x14ac:dyDescent="0.2">
      <c r="D16" t="s">
        <v>55</v>
      </c>
    </row>
    <row r="18" spans="4:4" x14ac:dyDescent="0.2">
      <c r="D18" t="s">
        <v>56</v>
      </c>
    </row>
    <row r="20" spans="4:4" x14ac:dyDescent="0.2">
      <c r="D20" s="3" t="s">
        <v>58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Label 3">
              <controlPr defaultSize="0" autoFill="0" autoLine="0" autoPict="0">
                <anchor moveWithCells="1" sizeWithCells="1">
                  <from>
                    <xdr:col>5</xdr:col>
                    <xdr:colOff>466725</xdr:colOff>
                    <xdr:row>1</xdr:row>
                    <xdr:rowOff>57150</xdr:rowOff>
                  </from>
                  <to>
                    <xdr:col>7</xdr:col>
                    <xdr:colOff>66675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Drop Down 4">
              <controlPr defaultSize="0" autoLine="0" autoPict="0" macro="[0]!gotosheet">
                <anchor moveWithCells="1" sizeWithCells="1">
                  <from>
                    <xdr:col>5</xdr:col>
                    <xdr:colOff>457200</xdr:colOff>
                    <xdr:row>2</xdr:row>
                    <xdr:rowOff>85725</xdr:rowOff>
                  </from>
                  <to>
                    <xdr:col>8</xdr:col>
                    <xdr:colOff>276225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74F7D-BBAE-416D-BCD3-FF2F28B03463}">
  <sheetPr codeName="Sheet6"/>
  <dimension ref="B2:G28"/>
  <sheetViews>
    <sheetView zoomScaleNormal="100" workbookViewId="0">
      <selection activeCell="C8" sqref="C8"/>
    </sheetView>
  </sheetViews>
  <sheetFormatPr defaultColWidth="8.85546875" defaultRowHeight="12.75" x14ac:dyDescent="0.2"/>
  <cols>
    <col min="1" max="1" width="1.42578125" style="12" customWidth="1"/>
    <col min="2" max="2" width="23.140625" style="12" customWidth="1"/>
    <col min="3" max="3" width="10.7109375" style="12" customWidth="1"/>
    <col min="4" max="4" width="10.42578125" style="12" customWidth="1"/>
    <col min="5" max="8" width="8.85546875" style="12" customWidth="1"/>
    <col min="9" max="9" width="12.5703125" style="12" customWidth="1"/>
    <col min="10" max="16384" width="8.85546875" style="12"/>
  </cols>
  <sheetData>
    <row r="2" spans="2:7" x14ac:dyDescent="0.2">
      <c r="E2" s="37" t="s">
        <v>78</v>
      </c>
      <c r="F2" s="37"/>
      <c r="G2" s="37"/>
    </row>
    <row r="3" spans="2:7" ht="13.5" thickBot="1" x14ac:dyDescent="0.25">
      <c r="B3" s="15" t="s">
        <v>0</v>
      </c>
      <c r="C3" s="13"/>
      <c r="E3" s="16"/>
      <c r="F3" s="20" t="s">
        <v>2</v>
      </c>
      <c r="G3" s="20" t="s">
        <v>3</v>
      </c>
    </row>
    <row r="4" spans="2:7" x14ac:dyDescent="0.2">
      <c r="B4" s="17" t="s">
        <v>1</v>
      </c>
      <c r="C4" s="6">
        <v>100</v>
      </c>
      <c r="E4" s="17" t="s">
        <v>10</v>
      </c>
      <c r="F4" s="25">
        <f>BSCall(stock,exer,vol,rint,expire,divd)</f>
        <v>19.537966294556892</v>
      </c>
      <c r="G4" s="26">
        <f>BSPut(stock,exer,vol,rint,expire,divd)</f>
        <v>22.096293511693119</v>
      </c>
    </row>
    <row r="5" spans="2:7" x14ac:dyDescent="0.2">
      <c r="B5" s="18" t="s">
        <v>4</v>
      </c>
      <c r="C5" s="7">
        <v>120</v>
      </c>
      <c r="E5" s="18" t="s">
        <v>13</v>
      </c>
      <c r="F5" s="27">
        <f>BSCallDelta(stock,exer,vol,rint,expire,divd)</f>
        <v>0.47742914011181725</v>
      </c>
      <c r="G5" s="28">
        <f>BSPutDelta(stock,exer,vol,rint,expire,divd)</f>
        <v>-0.30137164295958763</v>
      </c>
    </row>
    <row r="6" spans="2:7" x14ac:dyDescent="0.2">
      <c r="B6" s="18" t="s">
        <v>5</v>
      </c>
      <c r="C6" s="10">
        <v>0.3</v>
      </c>
      <c r="E6" s="18" t="s">
        <v>14</v>
      </c>
      <c r="F6" s="27">
        <f>BSCallGamma(stock,exer,vol,rint,expire,divd)</f>
        <v>4.4444246693387222E-3</v>
      </c>
      <c r="G6" s="28">
        <f>BSPutGamma(stock,exer,vol,rint,expire,divd)</f>
        <v>4.4444246693387222E-3</v>
      </c>
    </row>
    <row r="7" spans="2:7" x14ac:dyDescent="0.2">
      <c r="B7" s="18" t="s">
        <v>6</v>
      </c>
      <c r="C7" s="10">
        <v>0.08</v>
      </c>
      <c r="E7" s="18" t="s">
        <v>15</v>
      </c>
      <c r="F7" s="27">
        <f>BSCallVega(stock,exer,vol,rint,expire,divd)</f>
        <v>0.66666370040080836</v>
      </c>
      <c r="G7" s="28">
        <f>BSPutVega(stock,exer,vol,rint,expire,divd)</f>
        <v>0.66666370040080836</v>
      </c>
    </row>
    <row r="8" spans="2:7" x14ac:dyDescent="0.2">
      <c r="B8" s="18" t="s">
        <v>62</v>
      </c>
      <c r="C8" s="7">
        <v>5</v>
      </c>
      <c r="E8" s="18" t="s">
        <v>16</v>
      </c>
      <c r="F8" s="27">
        <f>BSCallTheta(stock,exer,vol,rint,expire,divd)</f>
        <v>-5.1212088163652752E-3</v>
      </c>
      <c r="G8" s="28">
        <f>BSPutTheta(stock,exer,vol,rint,expire,divd)</f>
        <v>1.8406227633199629E-3</v>
      </c>
    </row>
    <row r="9" spans="2:7" x14ac:dyDescent="0.2">
      <c r="B9" s="18" t="s">
        <v>7</v>
      </c>
      <c r="C9" s="10">
        <v>0.05</v>
      </c>
      <c r="E9" s="18" t="s">
        <v>17</v>
      </c>
      <c r="F9" s="27">
        <f>BSCallRho(stock,exer,vol,rint,expire,divd)</f>
        <v>1.4102473858312419</v>
      </c>
      <c r="G9" s="28">
        <f>BSPutRho(stock,exer,vol,rint,expire,divd)</f>
        <v>-2.6116728903825948</v>
      </c>
    </row>
    <row r="10" spans="2:7" x14ac:dyDescent="0.2">
      <c r="B10" s="18" t="s">
        <v>18</v>
      </c>
      <c r="C10" s="7">
        <v>10</v>
      </c>
      <c r="E10" s="18" t="s">
        <v>91</v>
      </c>
      <c r="F10" s="27">
        <f>BSCallPsi(stock,exer,vol,rint,expire,divd)</f>
        <v>-2.3871457005590866</v>
      </c>
      <c r="G10" s="28">
        <f>BSputPsi(stock,exer,vol,rint,expire,divd)</f>
        <v>1.5068582147979381</v>
      </c>
    </row>
    <row r="11" spans="2:7" ht="13.5" thickBot="1" x14ac:dyDescent="0.25">
      <c r="B11" s="19" t="s">
        <v>12</v>
      </c>
      <c r="C11" s="8">
        <v>1</v>
      </c>
      <c r="E11" s="19" t="s">
        <v>19</v>
      </c>
      <c r="F11" s="29">
        <f>BSCallElast(stock,exer,vol,rint,expire,divd)</f>
        <v>2.4435969072422079</v>
      </c>
      <c r="G11" s="30">
        <f>BSPutElast(stock,exer,vol,rint,expire,divd)</f>
        <v>-1.3639013384760887</v>
      </c>
    </row>
    <row r="12" spans="2:7" x14ac:dyDescent="0.2">
      <c r="B12" s="16"/>
    </row>
    <row r="13" spans="2:7" ht="13.5" thickBot="1" x14ac:dyDescent="0.25">
      <c r="B13" s="15" t="s">
        <v>25</v>
      </c>
      <c r="C13" s="13"/>
      <c r="E13" s="37" t="str">
        <f>CONCATENATE("Binomial ",IF(OpType=0,"European","American"))</f>
        <v>Binomial American</v>
      </c>
      <c r="F13" s="37"/>
      <c r="G13" s="37"/>
    </row>
    <row r="14" spans="2:7" ht="13.5" thickBot="1" x14ac:dyDescent="0.25">
      <c r="B14" s="17" t="s">
        <v>20</v>
      </c>
      <c r="C14" s="11">
        <v>5</v>
      </c>
      <c r="E14" s="21"/>
      <c r="F14" s="20" t="s">
        <v>2</v>
      </c>
      <c r="G14" s="20" t="s">
        <v>3</v>
      </c>
    </row>
    <row r="15" spans="2:7" ht="13.5" thickBot="1" x14ac:dyDescent="0.25">
      <c r="B15" s="18" t="s">
        <v>21</v>
      </c>
      <c r="C15" s="23">
        <f>BSCallImpVol(stock,exer,vol,rint,expire,divd,C14)</f>
        <v>8.7882136523374316E-2</v>
      </c>
      <c r="E15" s="17" t="s">
        <v>10</v>
      </c>
      <c r="F15" s="31">
        <f t="array" ref="F15:F18">BinomCall(stock,exer,vol,rint,expire,divd,OpType,n)</f>
        <v>19.885253660630397</v>
      </c>
      <c r="G15" s="26">
        <f t="array" ref="G15:G18">BinomPut(stock,exer,vol,rint,expire,divd,OpType,n)</f>
        <v>28.939734623903192</v>
      </c>
    </row>
    <row r="16" spans="2:7" ht="13.5" thickBot="1" x14ac:dyDescent="0.25">
      <c r="B16" s="18" t="s">
        <v>22</v>
      </c>
      <c r="C16" s="11">
        <v>3</v>
      </c>
      <c r="E16" s="18" t="s">
        <v>13</v>
      </c>
      <c r="F16" s="32">
        <v>0.49839397177786177</v>
      </c>
      <c r="G16" s="28">
        <v>-0.46428795843425397</v>
      </c>
    </row>
    <row r="17" spans="2:7" ht="13.5" thickBot="1" x14ac:dyDescent="0.25">
      <c r="B17" s="19" t="s">
        <v>23</v>
      </c>
      <c r="C17" s="24">
        <f>BSPutImpVol(stock,exer,vol,rint,expire,divd,C16)</f>
        <v>1.9166244739931275E-2</v>
      </c>
      <c r="E17" s="18" t="s">
        <v>14</v>
      </c>
      <c r="F17" s="32">
        <v>5.3662119932882252E-3</v>
      </c>
      <c r="G17" s="28">
        <v>9.8066317107978179E-3</v>
      </c>
    </row>
    <row r="18" spans="2:7" ht="13.5" thickBot="1" x14ac:dyDescent="0.25">
      <c r="E18" s="19" t="s">
        <v>16</v>
      </c>
      <c r="F18" s="33">
        <v>-6.8113722181893828E-3</v>
      </c>
      <c r="G18" s="30">
        <v>-2.6628526453721145E-3</v>
      </c>
    </row>
    <row r="19" spans="2:7" x14ac:dyDescent="0.2">
      <c r="E19" s="21"/>
      <c r="F19" s="22"/>
      <c r="G19" s="22"/>
    </row>
    <row r="21" spans="2:7" x14ac:dyDescent="0.2">
      <c r="E21" s="21"/>
      <c r="F21" s="20"/>
      <c r="G21" s="20"/>
    </row>
    <row r="22" spans="2:7" x14ac:dyDescent="0.2">
      <c r="E22" s="21"/>
      <c r="F22" s="16"/>
      <c r="G22" s="16"/>
    </row>
    <row r="23" spans="2:7" x14ac:dyDescent="0.2">
      <c r="E23" s="14"/>
    </row>
    <row r="24" spans="2:7" x14ac:dyDescent="0.2">
      <c r="E24" s="14"/>
    </row>
    <row r="25" spans="2:7" x14ac:dyDescent="0.2">
      <c r="E25" s="14"/>
    </row>
    <row r="27" spans="2:7" x14ac:dyDescent="0.2">
      <c r="B27" s="14"/>
    </row>
    <row r="28" spans="2:7" x14ac:dyDescent="0.2">
      <c r="B28" s="14"/>
    </row>
  </sheetData>
  <customSheetViews>
    <customSheetView guid="{532D3151-5C1C-424A-878F-BA037C16242F}" scale="125" showRuler="0">
      <selection activeCell="C7" sqref="C7"/>
      <pageMargins left="0.75" right="0.75" top="1" bottom="1" header="0.5" footer="0.5"/>
      <printOptions gridLines="1"/>
      <pageSetup orientation="portrait" horizontalDpi="0" verticalDpi="0" r:id="rId1"/>
      <headerFooter alignWithMargins="0">
        <oddHeader>&amp;A</oddHeader>
        <oddFooter>Page &amp;P</oddFooter>
      </headerFooter>
    </customSheetView>
    <customSheetView guid="{E57ABD6A-4CAE-11D2-87E4-00C04F79569A}" showRuler="0">
      <selection activeCell="F3" sqref="F3"/>
      <pageMargins left="0.75" right="0.75" top="1" bottom="1" header="0.5" footer="0.5"/>
      <printOptions gridLines="1"/>
      <pageSetup orientation="portrait" horizontalDpi="0" verticalDpi="0" r:id="rId2"/>
      <headerFooter alignWithMargins="0">
        <oddHeader>&amp;A</oddHeader>
        <oddFooter>Page &amp;P</oddFooter>
      </headerFooter>
    </customSheetView>
  </customSheetViews>
  <mergeCells count="2">
    <mergeCell ref="E2:G2"/>
    <mergeCell ref="E13:G13"/>
  </mergeCells>
  <phoneticPr fontId="0" type="noConversion"/>
  <printOptions gridLines="1" gridLinesSet="0"/>
  <pageMargins left="0.75" right="0.75" top="1" bottom="1" header="0.5" footer="0.5"/>
  <pageSetup orientation="portrait" r:id="rId3"/>
  <headerFooter alignWithMargins="0">
    <oddHeader>&amp;A</oddHeader>
    <oddFooter>Page &amp;P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Line="0" autoPict="0" macro="[0]!GraphBinomCall">
                <anchor moveWithCells="1" sizeWithCells="1">
                  <from>
                    <xdr:col>1</xdr:col>
                    <xdr:colOff>361950</xdr:colOff>
                    <xdr:row>17</xdr:row>
                    <xdr:rowOff>142875</xdr:rowOff>
                  </from>
                  <to>
                    <xdr:col>2</xdr:col>
                    <xdr:colOff>57150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Line="0" autoPict="0" macro="[0]!GraphBinomPut">
                <anchor moveWithCells="1" sizeWithCells="1">
                  <from>
                    <xdr:col>1</xdr:col>
                    <xdr:colOff>371475</xdr:colOff>
                    <xdr:row>20</xdr:row>
                    <xdr:rowOff>123825</xdr:rowOff>
                  </from>
                  <to>
                    <xdr:col>2</xdr:col>
                    <xdr:colOff>66675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0E66-1598-4CB7-A778-AD970BB7861A}">
  <sheetPr codeName="Sheet7"/>
  <dimension ref="A1:K23"/>
  <sheetViews>
    <sheetView tabSelected="1" zoomScale="110" zoomScaleNormal="110" workbookViewId="0"/>
  </sheetViews>
  <sheetFormatPr defaultRowHeight="12.75" x14ac:dyDescent="0.2"/>
  <cols>
    <col min="1" max="1" width="9.7109375" customWidth="1"/>
    <col min="6" max="6" width="11.42578125" customWidth="1"/>
    <col min="7" max="11" width="12.42578125" customWidth="1"/>
    <col min="13" max="15" width="12.42578125" customWidth="1"/>
    <col min="16" max="16" width="9.42578125" customWidth="1"/>
    <col min="19" max="36" width="12.42578125" bestFit="1" customWidth="1"/>
    <col min="37" max="37" width="11.42578125" bestFit="1" customWidth="1"/>
  </cols>
  <sheetData>
    <row r="1" spans="1:11" x14ac:dyDescent="0.2">
      <c r="A1" s="2" t="s">
        <v>24</v>
      </c>
      <c r="B1" s="2">
        <v>0.5</v>
      </c>
      <c r="C1" s="2">
        <v>1</v>
      </c>
      <c r="D1" s="2">
        <v>1.5</v>
      </c>
      <c r="E1" s="2">
        <v>2</v>
      </c>
      <c r="F1" s="2">
        <v>2.5</v>
      </c>
      <c r="G1" s="2">
        <v>3</v>
      </c>
      <c r="H1" s="2">
        <v>3.5</v>
      </c>
      <c r="I1" s="2">
        <v>4</v>
      </c>
      <c r="J1" s="2">
        <v>4.5</v>
      </c>
      <c r="K1" s="2">
        <v>5</v>
      </c>
    </row>
    <row r="2" spans="1:11" x14ac:dyDescent="0.2">
      <c r="A2" s="1">
        <v>99.999999999999986</v>
      </c>
      <c r="B2" s="1">
        <v>125.49955595319879</v>
      </c>
      <c r="C2" s="1">
        <v>157.50138544450078</v>
      </c>
      <c r="D2" s="1">
        <v>197.6635393529846</v>
      </c>
      <c r="E2" s="1">
        <v>248.06686416937205</v>
      </c>
      <c r="F2" s="1">
        <v>311.3228129995868</v>
      </c>
      <c r="G2" s="1">
        <v>390.70874789548895</v>
      </c>
      <c r="H2" s="1">
        <v>490.33774367914168</v>
      </c>
      <c r="I2" s="1">
        <v>615.371690988257</v>
      </c>
      <c r="J2" s="1">
        <v>772.28873965195328</v>
      </c>
      <c r="K2" s="1">
        <v>969.21893893975709</v>
      </c>
    </row>
    <row r="3" spans="1:11" x14ac:dyDescent="0.2">
      <c r="A3" s="4">
        <v>19.885253660630397</v>
      </c>
      <c r="B3" s="4">
        <v>32.955042625774091</v>
      </c>
      <c r="C3" s="4">
        <v>53.287402264616347</v>
      </c>
      <c r="D3" s="4">
        <v>83.904783390482493</v>
      </c>
      <c r="E3" s="4">
        <v>128.47979201602894</v>
      </c>
      <c r="F3" s="5">
        <v>191.3228129995868</v>
      </c>
      <c r="G3" s="5">
        <v>270.70874789548895</v>
      </c>
      <c r="H3" s="5">
        <v>370.33774367914168</v>
      </c>
      <c r="I3" s="5">
        <v>495.371690988257</v>
      </c>
      <c r="J3" s="5">
        <v>652.28873965195328</v>
      </c>
      <c r="K3" s="5">
        <v>849.21893893975709</v>
      </c>
    </row>
    <row r="4" spans="1:11" x14ac:dyDescent="0.2">
      <c r="B4" s="1">
        <v>82.108221509388699</v>
      </c>
      <c r="C4" s="1">
        <v>103.0454533953517</v>
      </c>
      <c r="D4" s="1">
        <v>129.32158644112681</v>
      </c>
      <c r="E4" s="1">
        <v>162.29801673524631</v>
      </c>
      <c r="F4" s="1">
        <v>203.68329032358241</v>
      </c>
      <c r="G4" s="1">
        <v>255.6216249069607</v>
      </c>
      <c r="H4" s="1">
        <v>320.80400417858715</v>
      </c>
      <c r="I4" s="1">
        <v>402.60760072420828</v>
      </c>
      <c r="J4" s="1">
        <v>505.27075114270906</v>
      </c>
      <c r="K4" s="1">
        <v>634.11254904549207</v>
      </c>
    </row>
    <row r="5" spans="1:11" x14ac:dyDescent="0.2">
      <c r="B5" s="4">
        <v>10.781598833721425</v>
      </c>
      <c r="C5" s="4">
        <v>18.941823649527493</v>
      </c>
      <c r="D5" s="4">
        <v>32.456015379357133</v>
      </c>
      <c r="E5" s="4">
        <v>54.043861683722149</v>
      </c>
      <c r="F5" s="4">
        <v>87.133211169939997</v>
      </c>
      <c r="G5" s="5">
        <v>135.6216249069607</v>
      </c>
      <c r="H5" s="5">
        <v>200.80400417858715</v>
      </c>
      <c r="I5" s="5">
        <v>282.60760072420828</v>
      </c>
      <c r="J5" s="5">
        <v>385.27075114270906</v>
      </c>
      <c r="K5" s="5">
        <v>514.11254904549207</v>
      </c>
    </row>
    <row r="6" spans="1:11" x14ac:dyDescent="0.2">
      <c r="C6" s="1">
        <v>67.417600394348398</v>
      </c>
      <c r="D6" s="1">
        <v>84.608789129209256</v>
      </c>
      <c r="E6" s="1">
        <v>106.18365465453597</v>
      </c>
      <c r="F6" s="1">
        <v>133.26001508632078</v>
      </c>
      <c r="G6" s="1">
        <v>167.24072719649831</v>
      </c>
      <c r="H6" s="1">
        <v>209.88637000450598</v>
      </c>
      <c r="I6" s="1">
        <v>263.40646236194289</v>
      </c>
      <c r="J6" s="1">
        <v>330.57394061626809</v>
      </c>
      <c r="K6" s="1">
        <v>414.86882757040757</v>
      </c>
    </row>
    <row r="7" spans="1:11" x14ac:dyDescent="0.2">
      <c r="C7" s="4">
        <v>4.97704381155694</v>
      </c>
      <c r="D7" s="4">
        <v>9.4090652944650781</v>
      </c>
      <c r="E7" s="4">
        <v>17.39044746755534</v>
      </c>
      <c r="F7" s="4">
        <v>31.2688461860998</v>
      </c>
      <c r="G7" s="4">
        <v>54.345226263688829</v>
      </c>
      <c r="H7" s="4">
        <v>90.562482469432581</v>
      </c>
      <c r="I7" s="5">
        <v>143.40646236194289</v>
      </c>
      <c r="J7" s="5">
        <v>210.57394061626809</v>
      </c>
      <c r="K7" s="5">
        <v>294.86882757040757</v>
      </c>
    </row>
    <row r="8" spans="1:11" x14ac:dyDescent="0.2">
      <c r="D8" s="1">
        <v>55.355392668106084</v>
      </c>
      <c r="E8" s="1">
        <v>69.470771994622709</v>
      </c>
      <c r="F8" s="1">
        <v>87.185510370510698</v>
      </c>
      <c r="G8" s="1">
        <v>109.41742837052102</v>
      </c>
      <c r="H8" s="1">
        <v>137.31838674041327</v>
      </c>
      <c r="I8" s="1">
        <v>172.3339656013149</v>
      </c>
      <c r="J8" s="1">
        <v>216.27836158618859</v>
      </c>
      <c r="K8" s="1">
        <v>271.42838341352041</v>
      </c>
    </row>
    <row r="9" spans="1:11" x14ac:dyDescent="0.2">
      <c r="D9" s="4">
        <v>1.7595780599127833</v>
      </c>
      <c r="E9" s="4">
        <v>3.6478469067066999</v>
      </c>
      <c r="F9" s="4">
        <v>7.4485734427216901</v>
      </c>
      <c r="G9" s="4">
        <v>14.911628094449089</v>
      </c>
      <c r="H9" s="4">
        <v>29.062425727714228</v>
      </c>
      <c r="I9" s="4">
        <v>54.504615360655343</v>
      </c>
      <c r="J9" s="5">
        <v>96.278361586188595</v>
      </c>
      <c r="K9" s="5">
        <v>151.42838341352041</v>
      </c>
    </row>
    <row r="10" spans="1:11" x14ac:dyDescent="0.2">
      <c r="A10" s="36" t="s">
        <v>117</v>
      </c>
      <c r="E10" s="1">
        <v>45.451328429320441</v>
      </c>
      <c r="F10" s="1">
        <v>57.041215353627166</v>
      </c>
      <c r="G10" s="1">
        <v>71.586471979109959</v>
      </c>
      <c r="H10" s="1">
        <v>89.840704456344099</v>
      </c>
      <c r="I10" s="1">
        <v>112.74968515793755</v>
      </c>
      <c r="J10" s="1">
        <v>141.50035421184134</v>
      </c>
      <c r="K10" s="1">
        <v>177.58231620806436</v>
      </c>
    </row>
    <row r="11" spans="1:11" x14ac:dyDescent="0.2">
      <c r="A11" s="36" t="s">
        <v>118</v>
      </c>
      <c r="E11" s="4">
        <v>0.36213051839437382</v>
      </c>
      <c r="F11" s="4">
        <v>0.84288655609425078</v>
      </c>
      <c r="G11" s="4">
        <v>1.9618831066613152</v>
      </c>
      <c r="H11" s="4">
        <v>4.5664334024241606</v>
      </c>
      <c r="I11" s="4">
        <v>10.628723978494854</v>
      </c>
      <c r="J11" s="4">
        <v>24.739170257264622</v>
      </c>
      <c r="K11" s="5">
        <v>57.582316208064356</v>
      </c>
    </row>
    <row r="12" spans="1:11" x14ac:dyDescent="0.2">
      <c r="A12" s="36" t="s">
        <v>81</v>
      </c>
      <c r="F12" s="1">
        <v>37.319277425706183</v>
      </c>
      <c r="G12" s="1">
        <v>46.835527454203628</v>
      </c>
      <c r="H12" s="1">
        <v>58.778378983364078</v>
      </c>
      <c r="I12" s="1">
        <v>73.766604620610252</v>
      </c>
      <c r="J12" s="1">
        <v>92.576761240617699</v>
      </c>
      <c r="K12" s="1">
        <v>116.18342427282829</v>
      </c>
    </row>
    <row r="13" spans="1:11" x14ac:dyDescent="0.2">
      <c r="A13" s="36" t="s">
        <v>119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</row>
    <row r="14" spans="1:11" x14ac:dyDescent="0.2">
      <c r="A14" s="36" t="s">
        <v>120</v>
      </c>
      <c r="G14" s="1">
        <v>30.642194974402127</v>
      </c>
      <c r="H14" s="1">
        <v>38.455818627188073</v>
      </c>
      <c r="I14" s="1">
        <v>48.261881615288544</v>
      </c>
      <c r="J14" s="1">
        <v>60.568447121845615</v>
      </c>
      <c r="K14" s="1">
        <v>76.013132185664276</v>
      </c>
    </row>
    <row r="15" spans="1:11" x14ac:dyDescent="0.2">
      <c r="A15" s="36" t="s">
        <v>121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</row>
    <row r="16" spans="1:11" x14ac:dyDescent="0.2">
      <c r="A16" s="36" t="s">
        <v>32</v>
      </c>
      <c r="H16" s="1">
        <v>25.159761324920872</v>
      </c>
      <c r="I16" s="1">
        <v>31.575388741660344</v>
      </c>
      <c r="J16" s="1">
        <v>39.626972661280064</v>
      </c>
      <c r="K16" s="1">
        <v>49.73167472760197</v>
      </c>
    </row>
    <row r="17" spans="8:11" x14ac:dyDescent="0.2">
      <c r="H17" s="4">
        <v>0</v>
      </c>
      <c r="I17" s="4">
        <v>0</v>
      </c>
      <c r="J17" s="4">
        <v>0</v>
      </c>
      <c r="K17" s="4">
        <v>0</v>
      </c>
    </row>
    <row r="18" spans="8:11" x14ac:dyDescent="0.2">
      <c r="I18" s="1">
        <v>20.658232559899538</v>
      </c>
      <c r="J18" s="1">
        <v>25.925990130453055</v>
      </c>
      <c r="K18" s="1">
        <v>32.537002490188733</v>
      </c>
    </row>
    <row r="19" spans="8:11" x14ac:dyDescent="0.2">
      <c r="I19" s="4">
        <v>0</v>
      </c>
      <c r="J19" s="4">
        <v>0</v>
      </c>
      <c r="K19" s="4">
        <v>0</v>
      </c>
    </row>
    <row r="20" spans="8:11" x14ac:dyDescent="0.2">
      <c r="J20" s="1">
        <v>16.962107350206971</v>
      </c>
      <c r="K20" s="1">
        <v>21.287369404814644</v>
      </c>
    </row>
    <row r="21" spans="8:11" x14ac:dyDescent="0.2">
      <c r="J21" s="4">
        <v>0</v>
      </c>
      <c r="K21" s="4">
        <v>0</v>
      </c>
    </row>
    <row r="22" spans="8:11" x14ac:dyDescent="0.2">
      <c r="K22" s="1">
        <v>13.927284675768236</v>
      </c>
    </row>
    <row r="23" spans="8:11" x14ac:dyDescent="0.2">
      <c r="K23" s="4">
        <v>0</v>
      </c>
    </row>
  </sheetData>
  <customSheetViews>
    <customSheetView guid="{532D3151-5C1C-424A-878F-BA037C16242F}" scale="150" showRuler="0">
      <pageMargins left="0.75" right="0.75" top="1" bottom="1" header="0.5" footer="0.5"/>
      <pageSetup orientation="portrait" r:id="rId1"/>
      <headerFooter alignWithMargins="0">
        <oddHeader>&amp;A</oddHeader>
        <oddFooter>Page &amp;P</oddFooter>
      </headerFooter>
    </customSheetView>
    <customSheetView guid="{E57ABD6A-4CAE-11D2-87E4-00C04F79569A}" showRuler="0">
      <pageMargins left="0.75" right="0.75" top="1" bottom="1" header="0.5" footer="0.5"/>
      <pageSetup orientation="portrait" r:id="rId2"/>
      <headerFooter alignWithMargins="0">
        <oddHeader>&amp;A</oddHeader>
        <oddFooter>Page &amp;P</oddFooter>
      </headerFooter>
    </customSheetView>
  </customSheetViews>
  <phoneticPr fontId="0" type="noConversion"/>
  <pageMargins left="0.75" right="0.75" top="1" bottom="1" header="0.5" footer="0.5"/>
  <pageSetup orientation="portrait" r:id="rId3"/>
  <headerFooter alignWithMargins="0">
    <oddHeader>&amp;A</oddHeader>
    <oddFooter>Page &amp;P</oddFooter>
  </headerFooter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3A73B-A157-4C5D-B0C4-57EF53A0454A}">
  <sheetPr codeName="Sheet12"/>
  <dimension ref="A1:B18"/>
  <sheetViews>
    <sheetView workbookViewId="0">
      <selection activeCell="J9" sqref="J9"/>
    </sheetView>
  </sheetViews>
  <sheetFormatPr defaultRowHeight="12.75" x14ac:dyDescent="0.2"/>
  <sheetData>
    <row r="1" spans="1:2" x14ac:dyDescent="0.2">
      <c r="A1" t="s">
        <v>101</v>
      </c>
      <c r="B1" t="s">
        <v>86</v>
      </c>
    </row>
    <row r="2" spans="1:2" x14ac:dyDescent="0.2">
      <c r="A2" t="s">
        <v>101</v>
      </c>
      <c r="B2" t="s">
        <v>87</v>
      </c>
    </row>
    <row r="3" spans="1:2" x14ac:dyDescent="0.2">
      <c r="A3" t="s">
        <v>101</v>
      </c>
      <c r="B3" t="s">
        <v>103</v>
      </c>
    </row>
    <row r="4" spans="1:2" x14ac:dyDescent="0.2">
      <c r="A4" t="s">
        <v>101</v>
      </c>
      <c r="B4" t="s">
        <v>90</v>
      </c>
    </row>
    <row r="5" spans="1:2" x14ac:dyDescent="0.2">
      <c r="A5" t="s">
        <v>101</v>
      </c>
      <c r="B5" t="s">
        <v>92</v>
      </c>
    </row>
    <row r="6" spans="1:2" x14ac:dyDescent="0.2">
      <c r="A6" t="s">
        <v>101</v>
      </c>
      <c r="B6" t="s">
        <v>93</v>
      </c>
    </row>
    <row r="10" spans="1:2" x14ac:dyDescent="0.2">
      <c r="B10" s="3" t="s">
        <v>107</v>
      </c>
    </row>
    <row r="12" spans="1:2" x14ac:dyDescent="0.2">
      <c r="B12" t="s">
        <v>105</v>
      </c>
    </row>
    <row r="14" spans="1:2" x14ac:dyDescent="0.2">
      <c r="B14" t="s">
        <v>89</v>
      </c>
    </row>
    <row r="15" spans="1:2" x14ac:dyDescent="0.2">
      <c r="B15" t="s">
        <v>88</v>
      </c>
    </row>
    <row r="16" spans="1:2" x14ac:dyDescent="0.2">
      <c r="B16" t="s">
        <v>102</v>
      </c>
    </row>
    <row r="17" spans="2:2" x14ac:dyDescent="0.2">
      <c r="B17" t="s">
        <v>104</v>
      </c>
    </row>
    <row r="18" spans="2:2" x14ac:dyDescent="0.2">
      <c r="B18" t="s">
        <v>106</v>
      </c>
    </row>
  </sheetData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EFB39-ACE1-44F8-A5E1-B6F04AB4BF26}">
  <sheetPr codeName="Sheet8"/>
  <dimension ref="A1:B40"/>
  <sheetViews>
    <sheetView topLeftCell="A29" workbookViewId="0">
      <selection activeCell="B40" sqref="B40"/>
    </sheetView>
  </sheetViews>
  <sheetFormatPr defaultRowHeight="12.75" x14ac:dyDescent="0.2"/>
  <cols>
    <col min="1" max="1" width="9.140625" style="9"/>
  </cols>
  <sheetData>
    <row r="1" spans="1:2" x14ac:dyDescent="0.2">
      <c r="A1" s="9">
        <v>36312</v>
      </c>
      <c r="B1" t="s">
        <v>26</v>
      </c>
    </row>
    <row r="2" spans="1:2" x14ac:dyDescent="0.2">
      <c r="A2" s="9">
        <v>36312</v>
      </c>
      <c r="B2" t="s">
        <v>66</v>
      </c>
    </row>
    <row r="3" spans="1:2" x14ac:dyDescent="0.2">
      <c r="A3" s="9">
        <v>36526</v>
      </c>
      <c r="B3" t="s">
        <v>27</v>
      </c>
    </row>
    <row r="4" spans="1:2" x14ac:dyDescent="0.2">
      <c r="A4" s="9">
        <v>36526</v>
      </c>
      <c r="B4" t="s">
        <v>28</v>
      </c>
    </row>
    <row r="5" spans="1:2" x14ac:dyDescent="0.2">
      <c r="A5" s="9">
        <v>36557</v>
      </c>
      <c r="B5" t="s">
        <v>30</v>
      </c>
    </row>
    <row r="6" spans="1:2" x14ac:dyDescent="0.2">
      <c r="A6" s="9">
        <v>36557</v>
      </c>
      <c r="B6" t="s">
        <v>31</v>
      </c>
    </row>
    <row r="7" spans="1:2" x14ac:dyDescent="0.2">
      <c r="A7" s="9">
        <v>36678</v>
      </c>
      <c r="B7" t="s">
        <v>33</v>
      </c>
    </row>
    <row r="8" spans="1:2" x14ac:dyDescent="0.2">
      <c r="A8" s="9">
        <v>36739</v>
      </c>
      <c r="B8" t="s">
        <v>34</v>
      </c>
    </row>
    <row r="9" spans="1:2" x14ac:dyDescent="0.2">
      <c r="A9" s="9">
        <v>36800</v>
      </c>
      <c r="B9" t="s">
        <v>35</v>
      </c>
    </row>
    <row r="10" spans="1:2" x14ac:dyDescent="0.2">
      <c r="A10" s="9">
        <v>36800</v>
      </c>
      <c r="B10" t="s">
        <v>36</v>
      </c>
    </row>
    <row r="11" spans="1:2" x14ac:dyDescent="0.2">
      <c r="A11" s="9">
        <v>37012</v>
      </c>
      <c r="B11" t="s">
        <v>37</v>
      </c>
    </row>
    <row r="12" spans="1:2" x14ac:dyDescent="0.2">
      <c r="A12" s="9">
        <v>37184</v>
      </c>
      <c r="B12" t="s">
        <v>59</v>
      </c>
    </row>
    <row r="13" spans="1:2" x14ac:dyDescent="0.2">
      <c r="A13" s="9">
        <v>37184</v>
      </c>
      <c r="B13" t="s">
        <v>60</v>
      </c>
    </row>
    <row r="14" spans="1:2" x14ac:dyDescent="0.2">
      <c r="A14" s="9">
        <v>37185</v>
      </c>
      <c r="B14" t="s">
        <v>61</v>
      </c>
    </row>
    <row r="15" spans="1:2" x14ac:dyDescent="0.2">
      <c r="A15" s="9">
        <v>37202</v>
      </c>
      <c r="B15" t="s">
        <v>63</v>
      </c>
    </row>
    <row r="16" spans="1:2" x14ac:dyDescent="0.2">
      <c r="A16" s="9">
        <v>37240</v>
      </c>
      <c r="B16" t="s">
        <v>64</v>
      </c>
    </row>
    <row r="17" spans="1:2" x14ac:dyDescent="0.2">
      <c r="A17" s="9">
        <v>37240</v>
      </c>
      <c r="B17" t="s">
        <v>65</v>
      </c>
    </row>
    <row r="18" spans="1:2" x14ac:dyDescent="0.2">
      <c r="A18" s="9">
        <v>37252</v>
      </c>
      <c r="B18" t="s">
        <v>69</v>
      </c>
    </row>
    <row r="19" spans="1:2" x14ac:dyDescent="0.2">
      <c r="A19" s="9">
        <v>37366</v>
      </c>
      <c r="B19" t="s">
        <v>72</v>
      </c>
    </row>
    <row r="20" spans="1:2" x14ac:dyDescent="0.2">
      <c r="A20" s="9">
        <v>37367</v>
      </c>
      <c r="B20" t="s">
        <v>76</v>
      </c>
    </row>
    <row r="21" spans="1:2" x14ac:dyDescent="0.2">
      <c r="A21" s="9">
        <v>37387</v>
      </c>
      <c r="B21" t="s">
        <v>73</v>
      </c>
    </row>
    <row r="22" spans="1:2" x14ac:dyDescent="0.2">
      <c r="A22" s="9">
        <v>37387</v>
      </c>
      <c r="B22" t="s">
        <v>74</v>
      </c>
    </row>
    <row r="23" spans="1:2" x14ac:dyDescent="0.2">
      <c r="A23" s="9">
        <v>37387</v>
      </c>
      <c r="B23" t="s">
        <v>77</v>
      </c>
    </row>
    <row r="24" spans="1:2" x14ac:dyDescent="0.2">
      <c r="A24" s="9">
        <v>37387</v>
      </c>
      <c r="B24" t="s">
        <v>75</v>
      </c>
    </row>
    <row r="25" spans="1:2" x14ac:dyDescent="0.2">
      <c r="A25" s="9">
        <v>37387</v>
      </c>
      <c r="B25" t="s">
        <v>79</v>
      </c>
    </row>
    <row r="26" spans="1:2" x14ac:dyDescent="0.2">
      <c r="A26" s="9">
        <v>37387</v>
      </c>
      <c r="B26" t="s">
        <v>80</v>
      </c>
    </row>
    <row r="27" spans="1:2" x14ac:dyDescent="0.2">
      <c r="A27" s="9">
        <v>37387</v>
      </c>
      <c r="B27" t="s">
        <v>83</v>
      </c>
    </row>
    <row r="28" spans="1:2" x14ac:dyDescent="0.2">
      <c r="A28" s="9">
        <v>37419</v>
      </c>
      <c r="B28" t="s">
        <v>82</v>
      </c>
    </row>
    <row r="29" spans="1:2" x14ac:dyDescent="0.2">
      <c r="A29" s="9">
        <v>37419</v>
      </c>
      <c r="B29" t="s">
        <v>84</v>
      </c>
    </row>
    <row r="30" spans="1:2" x14ac:dyDescent="0.2">
      <c r="A30" s="9">
        <v>37428</v>
      </c>
      <c r="B30" t="s">
        <v>85</v>
      </c>
    </row>
    <row r="31" spans="1:2" x14ac:dyDescent="0.2">
      <c r="A31" s="9" t="s">
        <v>109</v>
      </c>
    </row>
    <row r="32" spans="1:2" x14ac:dyDescent="0.2">
      <c r="A32" s="9">
        <v>39140</v>
      </c>
      <c r="B32" t="s">
        <v>108</v>
      </c>
    </row>
    <row r="33" spans="1:2" x14ac:dyDescent="0.2">
      <c r="A33" s="9" t="s">
        <v>110</v>
      </c>
    </row>
    <row r="34" spans="1:2" x14ac:dyDescent="0.2">
      <c r="A34" s="9">
        <v>39435</v>
      </c>
      <c r="B34" t="s">
        <v>111</v>
      </c>
    </row>
    <row r="35" spans="1:2" x14ac:dyDescent="0.2">
      <c r="A35" s="35" t="s">
        <v>112</v>
      </c>
    </row>
    <row r="36" spans="1:2" x14ac:dyDescent="0.2">
      <c r="A36" s="9">
        <v>39553</v>
      </c>
      <c r="B36" s="34" t="s">
        <v>113</v>
      </c>
    </row>
    <row r="38" spans="1:2" x14ac:dyDescent="0.2">
      <c r="A38" s="35" t="s">
        <v>114</v>
      </c>
    </row>
    <row r="39" spans="1:2" x14ac:dyDescent="0.2">
      <c r="A39" s="9">
        <v>41605</v>
      </c>
      <c r="B39" s="34" t="s">
        <v>115</v>
      </c>
    </row>
    <row r="40" spans="1:2" x14ac:dyDescent="0.2">
      <c r="B40" s="34" t="s">
        <v>116</v>
      </c>
    </row>
  </sheetData>
  <customSheetViews>
    <customSheetView guid="{532D3151-5C1C-424A-878F-BA037C16242F}" showRuler="0">
      <selection activeCell="B3" sqref="B3"/>
      <pageMargins left="0.75" right="0.75" top="1" bottom="1" header="0.5" footer="0.5"/>
      <headerFooter alignWithMargins="0"/>
    </customSheetView>
    <customSheetView guid="{E57ABD6A-4CAE-11D2-87E4-00C04F79569A}" showRuler="0">
      <selection activeCell="B3" sqref="B3"/>
      <pageMargins left="0.75" right="0.75" top="1" bottom="1" header="0.5" footer="0.5"/>
      <headerFooter alignWithMargins="0"/>
    </customSheetView>
  </customSheetView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parameters</vt:lpstr>
      <vt:lpstr>Black-Scholes+Binomial</vt:lpstr>
      <vt:lpstr>Output</vt:lpstr>
      <vt:lpstr>To-Dos</vt:lpstr>
      <vt:lpstr>Revisions</vt:lpstr>
      <vt:lpstr>divd</vt:lpstr>
      <vt:lpstr>exer</vt:lpstr>
      <vt:lpstr>expire</vt:lpstr>
      <vt:lpstr>n</vt:lpstr>
      <vt:lpstr>OpStyle</vt:lpstr>
      <vt:lpstr>OpType</vt:lpstr>
      <vt:lpstr>'Black-Scholes+Binomial'!Print_Area</vt:lpstr>
      <vt:lpstr>rint</vt:lpstr>
      <vt:lpstr>selectedsheet</vt:lpstr>
      <vt:lpstr>sheetlist</vt:lpstr>
      <vt:lpstr>sheetlistarray</vt:lpstr>
      <vt:lpstr>sheetlistdescription</vt:lpstr>
      <vt:lpstr>stock</vt:lpstr>
      <vt:lpstr>treetype</vt:lpstr>
      <vt:lpstr>vol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McDonald</dc:creator>
  <cp:lastModifiedBy>Ian McCamey</cp:lastModifiedBy>
  <cp:lastPrinted>2002-05-11T22:38:56Z</cp:lastPrinted>
  <dcterms:created xsi:type="dcterms:W3CDTF">1996-01-03T23:35:15Z</dcterms:created>
  <dcterms:modified xsi:type="dcterms:W3CDTF">2023-04-09T06:57:03Z</dcterms:modified>
</cp:coreProperties>
</file>